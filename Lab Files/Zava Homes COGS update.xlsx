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54" documentId="11_E60897F41BE170836B02CE998F75CCDC64E183C8" xr6:coauthVersionLast="47" xr6:coauthVersionMax="47" xr10:uidLastSave="{D0C42045-63A0-41AD-B270-E53094E12089}"/>
  <bookViews>
    <workbookView xWindow="240" yWindow="105" windowWidth="14805" windowHeight="8010" activeTab="1" xr2:uid="{00000000-000D-0000-FFFF-FFFF00000000}"/>
  </bookViews>
  <sheets>
    <sheet name="Sheet1" sheetId="1" r:id="rId1"/>
    <sheet name="Data Analy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B29" i="2" a="1"/>
  <c r="B29" i="2"/>
  <c r="B30" i="2" a="1"/>
  <c r="B30" i="2"/>
  <c r="B31" i="2"/>
  <c r="B32" i="2"/>
  <c r="B33" i="2"/>
  <c r="B34" i="2"/>
  <c r="B35" i="2"/>
  <c r="B36" i="2"/>
  <c r="B37" i="2"/>
  <c r="B38" i="2"/>
  <c r="B3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<sst xmlns="http://schemas.openxmlformats.org/spreadsheetml/2006/main" count="265" uniqueCount="89">
  <si>
    <t>Product Feature</t>
  </si>
  <si>
    <t>Material</t>
  </si>
  <si>
    <t>Supplier</t>
  </si>
  <si>
    <t>Estimated Units</t>
  </si>
  <si>
    <t>Unit Cost</t>
  </si>
  <si>
    <t>Total COGS</t>
  </si>
  <si>
    <t>Notes</t>
  </si>
  <si>
    <t>Eco Battery</t>
  </si>
  <si>
    <t>Aluminum</t>
  </si>
  <si>
    <t>Adatum Corporation</t>
  </si>
  <si>
    <t>Energy Sensor</t>
  </si>
  <si>
    <t>Glass</t>
  </si>
  <si>
    <t>Boulder Innovations</t>
  </si>
  <si>
    <t>Urgent review required</t>
  </si>
  <si>
    <t>Solar Panel</t>
  </si>
  <si>
    <t>Copper</t>
  </si>
  <si>
    <t>Contoso, Ltd.</t>
  </si>
  <si>
    <t>Bulk discount applied</t>
  </si>
  <si>
    <t>Silicon</t>
  </si>
  <si>
    <t>VanArsdel, Ltd.</t>
  </si>
  <si>
    <t>Check supplier pricing</t>
  </si>
  <si>
    <t>Steel</t>
  </si>
  <si>
    <t>Composite</t>
  </si>
  <si>
    <t>Smart Charger</t>
  </si>
  <si>
    <t>Recycled Frame</t>
  </si>
  <si>
    <t>Smart Thermostat</t>
  </si>
  <si>
    <t>Northwind Traders</t>
  </si>
  <si>
    <t>Lithium</t>
  </si>
  <si>
    <t>Trey Research</t>
  </si>
  <si>
    <t>LED Display</t>
  </si>
  <si>
    <t>Plastic</t>
  </si>
  <si>
    <t>Water Filter</t>
  </si>
  <si>
    <t>SECTION 1: Column Descriptions</t>
  </si>
  <si>
    <t>Column Name</t>
  </si>
  <si>
    <t>Data Type</t>
  </si>
  <si>
    <t>Description &amp; Purpose</t>
  </si>
  <si>
    <t>Text</t>
  </si>
  <si>
    <t>Name of the product component in the ZavaHome line (e.g., Eco Battery, Solar Panel, Smart Charger)</t>
  </si>
  <si>
    <t>Primary material used in manufacturing (e.g., Aluminum, Copper, Silicon, Glass, Steel)</t>
  </si>
  <si>
    <t>Vendor/company supplying the component (e.g., Contoso, Ltd., VanArsdel, Ltd., Trey Research)</t>
  </si>
  <si>
    <t>Numeric (Integer)</t>
  </si>
  <si>
    <t>Projected quantity of units to be ordered/produced for cost estimation</t>
  </si>
  <si>
    <t>Currency ($)</t>
  </si>
  <si>
    <t>Cost per individual unit from the supplier, used for COGS calculation</t>
  </si>
  <si>
    <t>Total Cost of Goods Sold = Estimated Units × Unit Cost; key metric for financial planning</t>
  </si>
  <si>
    <t>Flags for action items: pricing reviews, bulk discounts applied, or urgent reviews needed</t>
  </si>
  <si>
    <t>SECTION 2: Data Quality Issues Identified</t>
  </si>
  <si>
    <t>Issue Type</t>
  </si>
  <si>
    <t>Location</t>
  </si>
  <si>
    <t>Details</t>
  </si>
  <si>
    <t>Impact on Accuracy</t>
  </si>
  <si>
    <t>Missing Supplier</t>
  </si>
  <si>
    <t>Row 16 (C16)</t>
  </si>
  <si>
    <t>Smart Charger - Lithium has no supplier listed</t>
  </si>
  <si>
    <t>Cannot verify pricing or procurement source; affects supplier spend analysis</t>
  </si>
  <si>
    <t>Row 23 (C23)</t>
  </si>
  <si>
    <t>Smart Charger - Glass has no supplier listed</t>
  </si>
  <si>
    <t>Potential Unit Cost Outlier</t>
  </si>
  <si>
    <t>Row 17 (E17)</t>
  </si>
  <si>
    <t>Energy Sensor - Aluminum: Unit Cost = $652.60</t>
  </si>
  <si>
    <t>Significantly higher than similar products; may be data entry error or premium component</t>
  </si>
  <si>
    <t>Row 24 (E24)</t>
  </si>
  <si>
    <t>Smart Thermostat - Plastic: Unit Cost = $732.82</t>
  </si>
  <si>
    <t>Unusually high for plastic material; verify with supplier quote</t>
  </si>
  <si>
    <t>Row 28 (E28)</t>
  </si>
  <si>
    <t>LED Display - Aluminum: Unit Cost = $892.75</t>
  </si>
  <si>
    <t>Highest unit cost in dataset; needs verification against supplier contracts</t>
  </si>
  <si>
    <t>Empty Notes Field</t>
  </si>
  <si>
    <t>Multiple Rows</t>
  </si>
  <si>
    <t>Rows 2, 18, 21, 22, 25, 27, 28, 31, 32, 33, 38, 47 have no notes</t>
  </si>
  <si>
    <t>May indicate missing review status or action items; consider standardizing</t>
  </si>
  <si>
    <t>Inconsistent Notes Categories</t>
  </si>
  <si>
    <t>Column G</t>
  </si>
  <si>
    <t>Mix of: 'Urgent review required', 'Bulk discount applied', 'Check supplier pricing', and blanks</t>
  </si>
  <si>
    <t>Recommend standardized status codes for better filtering and tracking</t>
  </si>
  <si>
    <t>SECTION 3: Quick Data Summary (Formula-Based)</t>
  </si>
  <si>
    <t>Metric</t>
  </si>
  <si>
    <t>Value</t>
  </si>
  <si>
    <t>Total Records</t>
  </si>
  <si>
    <t>Unique Product Features</t>
  </si>
  <si>
    <t>Unique Suppliers (non-blank)</t>
  </si>
  <si>
    <t>Missing Supplier Count</t>
  </si>
  <si>
    <t>Total Estimated Units</t>
  </si>
  <si>
    <t>Average Unit Cost</t>
  </si>
  <si>
    <t>Max Unit Cost</t>
  </si>
  <si>
    <t>Min Unit Cost</t>
  </si>
  <si>
    <t>Records Needing Urgent Review</t>
  </si>
  <si>
    <t>Records with Bulk Discount</t>
  </si>
  <si>
    <t>Records to Check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</si>
</sst>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54823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0" borderId="1" xfId="0" applyBorder="1" applyAlignment="1">
      <alignment wrapText="1"/>
    </xf>
    <xf numFmtId="0" fontId="4" fillId="3" borderId="1" xfId="0" applyFont="1" applyFill="1" applyBorder="1"/>
    <xf numFmtId="0" fontId="4" fillId="4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/>
  </sheetViews>
  <sheetFormatPr defaultRowHeight="15"/>
  <cols>
    <col min="1" max="1" width="16.7109375" bestFit="1" customWidth="1"/>
    <col min="2" max="2" width="10.140625" bestFit="1" customWidth="1"/>
    <col min="3" max="3" width="18.85546875" bestFit="1" customWidth="1"/>
    <col min="4" max="4" width="15" bestFit="1" customWidth="1"/>
    <col min="6" max="6" width="10.85546875" bestFit="1" customWidth="1"/>
    <col min="7" max="7" width="21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845</v>
      </c>
      <c r="E2" s="2">
        <v>23.51</v>
      </c>
      <c r="F2" s="2">
        <v>19865.95</v>
      </c>
      <c r="G2" s="2"/>
    </row>
    <row r="3" spans="1:7">
      <c r="A3" s="2" t="s">
        <v>10</v>
      </c>
      <c r="B3" s="2" t="s">
        <v>11</v>
      </c>
      <c r="C3" s="2" t="s">
        <v>12</v>
      </c>
      <c r="D3" s="2">
        <v>1838</v>
      </c>
      <c r="E3" s="2">
        <v>83.38</v>
      </c>
      <c r="F3" s="2">
        <v>153252.44</v>
      </c>
      <c r="G3" s="2" t="s">
        <v>13</v>
      </c>
    </row>
    <row r="4" spans="1:7">
      <c r="A4" s="2" t="s">
        <v>14</v>
      </c>
      <c r="B4" s="2" t="s">
        <v>15</v>
      </c>
      <c r="C4" s="2" t="s">
        <v>16</v>
      </c>
      <c r="D4" s="2">
        <v>401</v>
      </c>
      <c r="E4" s="2">
        <v>79.88</v>
      </c>
      <c r="F4" s="2">
        <v>32031.88</v>
      </c>
      <c r="G4" s="2" t="s">
        <v>17</v>
      </c>
    </row>
    <row r="5" spans="1:7">
      <c r="A5" s="2" t="s">
        <v>7</v>
      </c>
      <c r="B5" s="2" t="s">
        <v>18</v>
      </c>
      <c r="C5" s="2" t="s">
        <v>19</v>
      </c>
      <c r="D5" s="2">
        <v>4033</v>
      </c>
      <c r="E5" s="2">
        <v>68.08</v>
      </c>
      <c r="F5" s="2">
        <v>274566.64</v>
      </c>
      <c r="G5" s="2" t="s">
        <v>13</v>
      </c>
    </row>
    <row r="6" spans="1:7">
      <c r="A6" s="2" t="s">
        <v>7</v>
      </c>
      <c r="B6" s="2" t="s">
        <v>15</v>
      </c>
      <c r="C6" s="2" t="s">
        <v>19</v>
      </c>
      <c r="D6" s="2">
        <v>135</v>
      </c>
      <c r="E6" s="2">
        <v>12.22</v>
      </c>
      <c r="F6" s="2">
        <v>1649.7</v>
      </c>
      <c r="G6" s="2" t="s">
        <v>20</v>
      </c>
    </row>
    <row r="7" spans="1:7">
      <c r="A7" s="2" t="s">
        <v>10</v>
      </c>
      <c r="B7" s="2" t="s">
        <v>21</v>
      </c>
      <c r="C7" s="2" t="s">
        <v>19</v>
      </c>
      <c r="D7" s="2">
        <v>1410</v>
      </c>
      <c r="E7" s="2">
        <v>114.82</v>
      </c>
      <c r="F7" s="2">
        <v>161896.20000000001</v>
      </c>
      <c r="G7" s="2" t="s">
        <v>20</v>
      </c>
    </row>
    <row r="8" spans="1:7">
      <c r="A8" s="2" t="s">
        <v>14</v>
      </c>
      <c r="B8" s="2" t="s">
        <v>22</v>
      </c>
      <c r="C8" s="2" t="s">
        <v>19</v>
      </c>
      <c r="D8" s="2">
        <v>3456</v>
      </c>
      <c r="E8" s="2">
        <v>32.96</v>
      </c>
      <c r="F8" s="2">
        <v>113909.75999999999</v>
      </c>
      <c r="G8" s="2" t="s">
        <v>20</v>
      </c>
    </row>
    <row r="9" spans="1:7">
      <c r="A9" s="2" t="s">
        <v>23</v>
      </c>
      <c r="B9" s="2" t="s">
        <v>8</v>
      </c>
      <c r="C9" s="2" t="s">
        <v>12</v>
      </c>
      <c r="D9" s="2">
        <v>4014</v>
      </c>
      <c r="E9" s="2">
        <v>68.98</v>
      </c>
      <c r="F9" s="2">
        <v>276885.71999999997</v>
      </c>
      <c r="G9" s="2" t="s">
        <v>20</v>
      </c>
    </row>
    <row r="10" spans="1:7">
      <c r="A10" s="2" t="s">
        <v>24</v>
      </c>
      <c r="B10" s="2" t="s">
        <v>21</v>
      </c>
      <c r="C10" s="2" t="s">
        <v>19</v>
      </c>
      <c r="D10" s="2">
        <v>4344</v>
      </c>
      <c r="E10" s="2">
        <v>122.04</v>
      </c>
      <c r="F10" s="2">
        <v>530141.76</v>
      </c>
      <c r="G10" s="2" t="s">
        <v>13</v>
      </c>
    </row>
    <row r="11" spans="1:7">
      <c r="A11" s="2" t="s">
        <v>14</v>
      </c>
      <c r="B11" s="2" t="s">
        <v>22</v>
      </c>
      <c r="C11" s="2" t="s">
        <v>16</v>
      </c>
      <c r="D11" s="2">
        <v>2102</v>
      </c>
      <c r="E11" s="2">
        <v>10.44</v>
      </c>
      <c r="F11" s="2">
        <v>21944.880000000001</v>
      </c>
      <c r="G11" s="2" t="s">
        <v>17</v>
      </c>
    </row>
    <row r="12" spans="1:7">
      <c r="A12" s="2" t="s">
        <v>25</v>
      </c>
      <c r="B12" s="2" t="s">
        <v>11</v>
      </c>
      <c r="C12" s="2" t="s">
        <v>19</v>
      </c>
      <c r="D12" s="2">
        <v>488</v>
      </c>
      <c r="E12" s="2">
        <v>132.43</v>
      </c>
      <c r="F12" s="2">
        <v>64625.84</v>
      </c>
      <c r="G12" s="2" t="s">
        <v>20</v>
      </c>
    </row>
    <row r="13" spans="1:7">
      <c r="A13" s="2" t="s">
        <v>24</v>
      </c>
      <c r="B13" s="2" t="s">
        <v>22</v>
      </c>
      <c r="C13" s="2" t="s">
        <v>9</v>
      </c>
      <c r="D13" s="2">
        <v>1943</v>
      </c>
      <c r="E13" s="2">
        <v>12.22</v>
      </c>
      <c r="F13" s="2">
        <v>23743.46</v>
      </c>
      <c r="G13" s="2" t="s">
        <v>17</v>
      </c>
    </row>
    <row r="14" spans="1:7">
      <c r="A14" s="2" t="s">
        <v>23</v>
      </c>
      <c r="B14" s="2" t="s">
        <v>15</v>
      </c>
      <c r="C14" s="2" t="s">
        <v>19</v>
      </c>
      <c r="D14" s="2">
        <v>3775</v>
      </c>
      <c r="E14" s="2">
        <v>140.77000000000001</v>
      </c>
      <c r="F14" s="2">
        <v>531406.75</v>
      </c>
      <c r="G14" s="2" t="s">
        <v>17</v>
      </c>
    </row>
    <row r="15" spans="1:7">
      <c r="A15" s="2" t="s">
        <v>14</v>
      </c>
      <c r="B15" s="2" t="s">
        <v>21</v>
      </c>
      <c r="C15" s="2" t="s">
        <v>26</v>
      </c>
      <c r="D15" s="2">
        <v>2465</v>
      </c>
      <c r="E15" s="2">
        <v>84.27</v>
      </c>
      <c r="F15" s="2">
        <v>207725.55</v>
      </c>
      <c r="G15" s="2" t="s">
        <v>17</v>
      </c>
    </row>
    <row r="16" spans="1:7">
      <c r="A16" s="2" t="s">
        <v>23</v>
      </c>
      <c r="B16" s="2" t="s">
        <v>27</v>
      </c>
      <c r="C16" s="2"/>
      <c r="D16" s="2">
        <v>4547</v>
      </c>
      <c r="E16" s="2">
        <v>55.78</v>
      </c>
      <c r="F16" s="2">
        <v>253631.66</v>
      </c>
      <c r="G16" s="2" t="s">
        <v>20</v>
      </c>
    </row>
    <row r="17" spans="1:7">
      <c r="A17" s="2" t="s">
        <v>10</v>
      </c>
      <c r="B17" s="2" t="s">
        <v>8</v>
      </c>
      <c r="C17" s="2" t="s">
        <v>28</v>
      </c>
      <c r="D17" s="2">
        <v>2918</v>
      </c>
      <c r="E17" s="2">
        <v>652.6</v>
      </c>
      <c r="F17" s="2">
        <v>245432.98</v>
      </c>
      <c r="G17" s="2" t="s">
        <v>17</v>
      </c>
    </row>
    <row r="18" spans="1:7">
      <c r="A18" s="2" t="s">
        <v>10</v>
      </c>
      <c r="B18" s="2" t="s">
        <v>21</v>
      </c>
      <c r="C18" s="2" t="s">
        <v>28</v>
      </c>
      <c r="D18" s="2">
        <v>2821</v>
      </c>
      <c r="E18" s="2">
        <v>55.22</v>
      </c>
      <c r="F18" s="2">
        <v>155775.62</v>
      </c>
      <c r="G18" s="2"/>
    </row>
    <row r="19" spans="1:7">
      <c r="A19" s="2" t="s">
        <v>29</v>
      </c>
      <c r="B19" s="2" t="s">
        <v>21</v>
      </c>
      <c r="C19" s="2" t="s">
        <v>19</v>
      </c>
      <c r="D19" s="2">
        <v>3830</v>
      </c>
      <c r="E19" s="2">
        <v>21.19</v>
      </c>
      <c r="F19" s="2">
        <v>81157.7</v>
      </c>
      <c r="G19" s="2" t="s">
        <v>13</v>
      </c>
    </row>
    <row r="20" spans="1:7">
      <c r="A20" s="2" t="s">
        <v>14</v>
      </c>
      <c r="B20" s="2" t="s">
        <v>27</v>
      </c>
      <c r="C20" s="2" t="s">
        <v>26</v>
      </c>
      <c r="D20" s="2">
        <v>4732</v>
      </c>
      <c r="E20" s="2">
        <v>61.98</v>
      </c>
      <c r="F20" s="2">
        <v>293289.36</v>
      </c>
      <c r="G20" s="2" t="s">
        <v>20</v>
      </c>
    </row>
    <row r="21" spans="1:7">
      <c r="A21" s="2" t="s">
        <v>24</v>
      </c>
      <c r="B21" s="2" t="s">
        <v>27</v>
      </c>
      <c r="C21" s="2" t="s">
        <v>12</v>
      </c>
      <c r="D21" s="2">
        <v>4749</v>
      </c>
      <c r="E21" s="2">
        <v>9.8000000000000007</v>
      </c>
      <c r="F21" s="2">
        <v>46540.2</v>
      </c>
      <c r="G21" s="2"/>
    </row>
    <row r="22" spans="1:7">
      <c r="A22" s="2" t="s">
        <v>24</v>
      </c>
      <c r="B22" s="2" t="s">
        <v>21</v>
      </c>
      <c r="C22" s="2" t="s">
        <v>12</v>
      </c>
      <c r="D22" s="2">
        <v>3966</v>
      </c>
      <c r="E22" s="2">
        <v>142.47</v>
      </c>
      <c r="F22" s="2">
        <v>565036.02</v>
      </c>
      <c r="G22" s="2"/>
    </row>
    <row r="23" spans="1:7">
      <c r="A23" s="2" t="s">
        <v>23</v>
      </c>
      <c r="B23" s="2" t="s">
        <v>11</v>
      </c>
      <c r="C23" s="2"/>
      <c r="D23" s="2">
        <v>1514</v>
      </c>
      <c r="E23" s="2">
        <v>112.53</v>
      </c>
      <c r="F23" s="2">
        <v>170370.42</v>
      </c>
      <c r="G23" s="2" t="s">
        <v>13</v>
      </c>
    </row>
    <row r="24" spans="1:7">
      <c r="A24" s="2" t="s">
        <v>25</v>
      </c>
      <c r="B24" s="2" t="s">
        <v>30</v>
      </c>
      <c r="C24" s="2" t="s">
        <v>28</v>
      </c>
      <c r="D24" s="2">
        <v>2006</v>
      </c>
      <c r="E24" s="2">
        <v>732.82</v>
      </c>
      <c r="F24" s="2">
        <v>109748.26</v>
      </c>
      <c r="G24" s="2" t="s">
        <v>17</v>
      </c>
    </row>
    <row r="25" spans="1:7">
      <c r="A25" s="2" t="s">
        <v>14</v>
      </c>
      <c r="B25" s="2" t="s">
        <v>18</v>
      </c>
      <c r="C25" s="2" t="s">
        <v>9</v>
      </c>
      <c r="D25" s="2">
        <v>2666</v>
      </c>
      <c r="E25" s="2">
        <v>85.32</v>
      </c>
      <c r="F25" s="2">
        <v>227463.12</v>
      </c>
      <c r="G25" s="2"/>
    </row>
    <row r="26" spans="1:7">
      <c r="A26" s="2" t="s">
        <v>25</v>
      </c>
      <c r="B26" s="2" t="s">
        <v>27</v>
      </c>
      <c r="C26" s="2" t="s">
        <v>16</v>
      </c>
      <c r="D26" s="2">
        <v>1096</v>
      </c>
      <c r="E26" s="2">
        <v>115.79</v>
      </c>
      <c r="F26" s="2">
        <v>126905.84</v>
      </c>
      <c r="G26" s="2" t="s">
        <v>13</v>
      </c>
    </row>
    <row r="27" spans="1:7">
      <c r="A27" s="2" t="s">
        <v>31</v>
      </c>
      <c r="B27" s="2" t="s">
        <v>15</v>
      </c>
      <c r="C27" s="2" t="s">
        <v>28</v>
      </c>
      <c r="D27" s="2">
        <v>4734</v>
      </c>
      <c r="E27" s="2">
        <v>143.44999999999999</v>
      </c>
      <c r="F27" s="2">
        <v>679092.3</v>
      </c>
      <c r="G27" s="2"/>
    </row>
    <row r="28" spans="1:7">
      <c r="A28" s="2" t="s">
        <v>29</v>
      </c>
      <c r="B28" s="2" t="s">
        <v>8</v>
      </c>
      <c r="C28" s="2" t="s">
        <v>19</v>
      </c>
      <c r="D28" s="2">
        <v>1800</v>
      </c>
      <c r="E28" s="2">
        <v>892.75</v>
      </c>
      <c r="F28" s="2">
        <v>126882</v>
      </c>
      <c r="G28" s="2"/>
    </row>
    <row r="29" spans="1:7">
      <c r="A29" s="2" t="s">
        <v>10</v>
      </c>
      <c r="B29" s="2" t="s">
        <v>11</v>
      </c>
      <c r="C29" s="2" t="s">
        <v>16</v>
      </c>
      <c r="D29" s="2">
        <v>1623</v>
      </c>
      <c r="E29" s="2">
        <v>92.41</v>
      </c>
      <c r="F29" s="2">
        <v>149981.43</v>
      </c>
      <c r="G29" s="2"/>
    </row>
    <row r="30" spans="1:7">
      <c r="A30" s="2" t="s">
        <v>14</v>
      </c>
      <c r="B30" s="2" t="s">
        <v>27</v>
      </c>
      <c r="C30" s="2" t="s">
        <v>28</v>
      </c>
      <c r="D30" s="2">
        <v>2439</v>
      </c>
      <c r="E30" s="2">
        <v>148.69</v>
      </c>
      <c r="F30" s="2">
        <v>362654.91</v>
      </c>
      <c r="G30" s="2" t="s">
        <v>20</v>
      </c>
    </row>
    <row r="31" spans="1:7">
      <c r="A31" s="2" t="s">
        <v>29</v>
      </c>
      <c r="B31" s="2" t="s">
        <v>15</v>
      </c>
      <c r="C31" s="2" t="s">
        <v>9</v>
      </c>
      <c r="D31" s="2">
        <v>1376</v>
      </c>
      <c r="E31" s="2">
        <v>74.37</v>
      </c>
      <c r="F31" s="2">
        <v>102333.12</v>
      </c>
      <c r="G31" s="2"/>
    </row>
    <row r="32" spans="1:7">
      <c r="A32" s="2" t="s">
        <v>10</v>
      </c>
      <c r="B32" s="2" t="s">
        <v>15</v>
      </c>
      <c r="C32" s="2" t="s">
        <v>12</v>
      </c>
      <c r="D32" s="2">
        <v>321</v>
      </c>
      <c r="E32" s="2">
        <v>84.13</v>
      </c>
      <c r="F32" s="2">
        <v>27005.73</v>
      </c>
      <c r="G32" s="2"/>
    </row>
    <row r="33" spans="1:7">
      <c r="A33" s="2" t="s">
        <v>31</v>
      </c>
      <c r="B33" s="2" t="s">
        <v>21</v>
      </c>
      <c r="C33" s="2" t="s">
        <v>12</v>
      </c>
      <c r="D33" s="2">
        <v>2417</v>
      </c>
      <c r="E33" s="2">
        <v>12.22</v>
      </c>
      <c r="F33" s="2">
        <v>29535.74</v>
      </c>
      <c r="G33" s="2"/>
    </row>
    <row r="34" spans="1:7">
      <c r="A34" s="2" t="s">
        <v>24</v>
      </c>
      <c r="B34" s="2" t="s">
        <v>22</v>
      </c>
      <c r="C34" s="2" t="s">
        <v>28</v>
      </c>
      <c r="D34" s="2">
        <v>324</v>
      </c>
      <c r="E34" s="2">
        <v>80.83</v>
      </c>
      <c r="F34" s="2">
        <v>26188.92</v>
      </c>
      <c r="G34" s="2" t="s">
        <v>13</v>
      </c>
    </row>
    <row r="35" spans="1:7">
      <c r="A35" s="2" t="s">
        <v>24</v>
      </c>
      <c r="B35" s="2" t="s">
        <v>8</v>
      </c>
      <c r="C35" s="2" t="s">
        <v>19</v>
      </c>
      <c r="D35" s="2">
        <v>3835</v>
      </c>
      <c r="E35" s="2">
        <v>19.64</v>
      </c>
      <c r="F35" s="2">
        <v>75319.399999999994</v>
      </c>
      <c r="G35" s="2" t="s">
        <v>17</v>
      </c>
    </row>
    <row r="36" spans="1:7">
      <c r="A36" s="2" t="s">
        <v>31</v>
      </c>
      <c r="B36" s="2" t="s">
        <v>11</v>
      </c>
      <c r="C36" s="2" t="s">
        <v>16</v>
      </c>
      <c r="D36" s="2">
        <v>2883</v>
      </c>
      <c r="E36" s="2">
        <v>43.46</v>
      </c>
      <c r="F36" s="2">
        <v>125295.18</v>
      </c>
      <c r="G36" s="2" t="s">
        <v>20</v>
      </c>
    </row>
    <row r="37" spans="1:7">
      <c r="A37" s="2" t="s">
        <v>10</v>
      </c>
      <c r="B37" s="2" t="s">
        <v>11</v>
      </c>
      <c r="C37" s="2" t="s">
        <v>16</v>
      </c>
      <c r="D37" s="2">
        <v>3494</v>
      </c>
      <c r="E37" s="2">
        <v>125.91</v>
      </c>
      <c r="F37" s="2">
        <v>439929.54</v>
      </c>
      <c r="G37" s="2" t="s">
        <v>17</v>
      </c>
    </row>
    <row r="38" spans="1:7">
      <c r="A38" s="2" t="s">
        <v>31</v>
      </c>
      <c r="B38" s="2" t="s">
        <v>8</v>
      </c>
      <c r="C38" s="2" t="s">
        <v>12</v>
      </c>
      <c r="D38" s="2">
        <v>4943</v>
      </c>
      <c r="E38" s="2">
        <v>109.65</v>
      </c>
      <c r="F38" s="2">
        <v>541999.94999999995</v>
      </c>
      <c r="G38" s="2"/>
    </row>
    <row r="39" spans="1:7">
      <c r="A39" s="2" t="s">
        <v>23</v>
      </c>
      <c r="B39" s="2" t="s">
        <v>11</v>
      </c>
      <c r="C39" s="2" t="s">
        <v>16</v>
      </c>
      <c r="D39" s="2">
        <v>1279</v>
      </c>
      <c r="E39" s="2">
        <v>48.69</v>
      </c>
      <c r="F39" s="2">
        <v>62274.51</v>
      </c>
      <c r="G39" s="2" t="s">
        <v>17</v>
      </c>
    </row>
    <row r="40" spans="1:7">
      <c r="A40" s="2" t="s">
        <v>24</v>
      </c>
      <c r="B40" s="2" t="s">
        <v>22</v>
      </c>
      <c r="C40" s="2" t="s">
        <v>16</v>
      </c>
      <c r="D40" s="2">
        <v>3846</v>
      </c>
      <c r="E40" s="2">
        <v>77.56</v>
      </c>
      <c r="F40" s="2">
        <v>298295.76</v>
      </c>
      <c r="G40" s="2" t="s">
        <v>17</v>
      </c>
    </row>
    <row r="41" spans="1:7">
      <c r="A41" s="2" t="s">
        <v>24</v>
      </c>
      <c r="B41" s="2" t="s">
        <v>15</v>
      </c>
      <c r="C41" s="2" t="s">
        <v>28</v>
      </c>
      <c r="D41" s="2">
        <v>4871</v>
      </c>
      <c r="E41" s="2">
        <v>126.28</v>
      </c>
      <c r="F41" s="2">
        <v>615109.88</v>
      </c>
      <c r="G41" s="2" t="s">
        <v>13</v>
      </c>
    </row>
    <row r="42" spans="1:7">
      <c r="A42" s="2" t="s">
        <v>29</v>
      </c>
      <c r="B42" s="2" t="s">
        <v>27</v>
      </c>
      <c r="C42" s="2" t="s">
        <v>16</v>
      </c>
      <c r="D42" s="2">
        <v>1705</v>
      </c>
      <c r="E42" s="2">
        <v>140.51</v>
      </c>
      <c r="F42" s="2">
        <v>239569.55</v>
      </c>
      <c r="G42" s="2" t="s">
        <v>13</v>
      </c>
    </row>
    <row r="43" spans="1:7">
      <c r="A43" s="2" t="s">
        <v>10</v>
      </c>
      <c r="B43" s="2" t="s">
        <v>11</v>
      </c>
      <c r="C43" s="2" t="s">
        <v>19</v>
      </c>
      <c r="D43" s="2">
        <v>4634</v>
      </c>
      <c r="E43" s="2">
        <v>124.55</v>
      </c>
      <c r="F43" s="2">
        <v>577164.69999999995</v>
      </c>
      <c r="G43" s="2" t="s">
        <v>20</v>
      </c>
    </row>
    <row r="44" spans="1:7">
      <c r="A44" s="2" t="s">
        <v>7</v>
      </c>
      <c r="B44" s="2" t="s">
        <v>18</v>
      </c>
      <c r="C44" s="2" t="s">
        <v>12</v>
      </c>
      <c r="D44" s="2">
        <v>4406</v>
      </c>
      <c r="E44" s="2">
        <v>149.07</v>
      </c>
      <c r="F44" s="2">
        <v>656802.42000000004</v>
      </c>
      <c r="G44" s="2" t="s">
        <v>20</v>
      </c>
    </row>
    <row r="45" spans="1:7">
      <c r="A45" s="2" t="s">
        <v>24</v>
      </c>
      <c r="B45" s="2" t="s">
        <v>22</v>
      </c>
      <c r="C45" s="2" t="s">
        <v>9</v>
      </c>
      <c r="D45" s="2">
        <v>3832</v>
      </c>
      <c r="E45" s="2">
        <v>51.63</v>
      </c>
      <c r="F45" s="2">
        <v>197846.16</v>
      </c>
      <c r="G45" s="2" t="s">
        <v>20</v>
      </c>
    </row>
    <row r="46" spans="1:7">
      <c r="A46" s="2" t="s">
        <v>14</v>
      </c>
      <c r="B46" s="2" t="s">
        <v>8</v>
      </c>
      <c r="C46" s="2" t="s">
        <v>28</v>
      </c>
      <c r="D46" s="2">
        <v>3990</v>
      </c>
      <c r="E46" s="2">
        <v>20.86</v>
      </c>
      <c r="F46" s="2">
        <v>83231.399999999994</v>
      </c>
      <c r="G46" s="2" t="s">
        <v>17</v>
      </c>
    </row>
    <row r="47" spans="1:7">
      <c r="A47" s="2" t="s">
        <v>23</v>
      </c>
      <c r="B47" s="2" t="s">
        <v>11</v>
      </c>
      <c r="C47" s="2" t="s">
        <v>28</v>
      </c>
      <c r="D47" s="2">
        <v>2229</v>
      </c>
      <c r="E47" s="2">
        <v>61.05</v>
      </c>
      <c r="F47" s="2">
        <v>136080.45000000001</v>
      </c>
      <c r="G47" s="2"/>
    </row>
    <row r="48" spans="1:7">
      <c r="A48" s="2" t="s">
        <v>7</v>
      </c>
      <c r="B48" s="2" t="s">
        <v>8</v>
      </c>
      <c r="C48" s="2" t="s">
        <v>16</v>
      </c>
      <c r="D48" s="2">
        <v>302</v>
      </c>
      <c r="E48" s="2">
        <v>21.02</v>
      </c>
      <c r="F48" s="2">
        <v>6348.04</v>
      </c>
      <c r="G48" s="2" t="s">
        <v>17</v>
      </c>
    </row>
    <row r="49" spans="1:7">
      <c r="A49" s="2" t="s">
        <v>24</v>
      </c>
      <c r="B49" s="2" t="s">
        <v>21</v>
      </c>
      <c r="C49" s="2" t="s">
        <v>26</v>
      </c>
      <c r="D49" s="2">
        <v>3740</v>
      </c>
      <c r="E49" s="2">
        <v>146.47999999999999</v>
      </c>
      <c r="F49" s="2">
        <v>547835.19999999995</v>
      </c>
      <c r="G49" s="2" t="s">
        <v>17</v>
      </c>
    </row>
    <row r="50" spans="1:7">
      <c r="A50" s="2" t="s">
        <v>10</v>
      </c>
      <c r="B50" s="2" t="s">
        <v>30</v>
      </c>
      <c r="C50" s="2" t="s">
        <v>16</v>
      </c>
      <c r="D50" s="2">
        <v>593</v>
      </c>
      <c r="E50" s="2">
        <v>78.03</v>
      </c>
      <c r="F50" s="2">
        <v>46271.79</v>
      </c>
      <c r="G50" s="2" t="s">
        <v>13</v>
      </c>
    </row>
    <row r="51" spans="1:7">
      <c r="A51" s="2" t="s">
        <v>31</v>
      </c>
      <c r="B51" s="2" t="s">
        <v>22</v>
      </c>
      <c r="C51" s="2" t="s">
        <v>16</v>
      </c>
      <c r="D51" s="2">
        <v>414</v>
      </c>
      <c r="E51" s="2">
        <v>128.97999999999999</v>
      </c>
      <c r="F51" s="2">
        <v>53397.72</v>
      </c>
      <c r="G51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1E69-E117-4893-B499-A52F4543F9FA}">
  <dimension ref="A1:D39"/>
  <sheetViews>
    <sheetView tabSelected="1" workbookViewId="0"/>
  </sheetViews>
  <sheetFormatPr defaultRowHeight="15"/>
  <cols>
    <col min="1" max="1" width="22.85546875" customWidth="1"/>
    <col min="2" max="2" width="24.7109375" customWidth="1"/>
    <col min="3" max="3" width="85.7109375" customWidth="1"/>
    <col min="4" max="4" width="66.7109375" customWidth="1"/>
  </cols>
  <sheetData>
    <row r="1" spans="1:4" ht="18.75">
      <c r="A1" s="3" t="s">
        <v>32</v>
      </c>
    </row>
    <row r="3" spans="1:4">
      <c r="A3" s="4" t="s">
        <v>33</v>
      </c>
      <c r="B3" s="4" t="s">
        <v>34</v>
      </c>
      <c r="C3" s="4" t="s">
        <v>35</v>
      </c>
    </row>
    <row r="4" spans="1:4" ht="198">
      <c r="A4" s="5" t="s">
        <v>0</v>
      </c>
      <c r="B4" s="5" t="s">
        <v>36</v>
      </c>
      <c r="C4" s="5" t="s">
        <v>37</v>
      </c>
    </row>
    <row r="5" spans="1:4" ht="183">
      <c r="A5" s="5" t="s">
        <v>1</v>
      </c>
      <c r="B5" s="5" t="s">
        <v>36</v>
      </c>
      <c r="C5" s="5" t="s">
        <v>38</v>
      </c>
    </row>
    <row r="6" spans="1:4" ht="198">
      <c r="A6" s="5" t="s">
        <v>2</v>
      </c>
      <c r="B6" s="5" t="s">
        <v>36</v>
      </c>
      <c r="C6" s="5" t="s">
        <v>39</v>
      </c>
    </row>
    <row r="7" spans="1:4" ht="137.25">
      <c r="A7" s="5" t="s">
        <v>3</v>
      </c>
      <c r="B7" s="5" t="s">
        <v>40</v>
      </c>
      <c r="C7" s="5" t="s">
        <v>41</v>
      </c>
    </row>
    <row r="8" spans="1:4" ht="137.25">
      <c r="A8" s="5" t="s">
        <v>4</v>
      </c>
      <c r="B8" s="5" t="s">
        <v>42</v>
      </c>
      <c r="C8" s="5" t="s">
        <v>43</v>
      </c>
    </row>
    <row r="9" spans="1:4" ht="183">
      <c r="A9" s="5" t="s">
        <v>5</v>
      </c>
      <c r="B9" s="5" t="s">
        <v>42</v>
      </c>
      <c r="C9" s="5" t="s">
        <v>44</v>
      </c>
    </row>
    <row r="10" spans="1:4" ht="167.25">
      <c r="A10" s="5" t="s">
        <v>6</v>
      </c>
      <c r="B10" s="5" t="s">
        <v>36</v>
      </c>
      <c r="C10" s="5" t="s">
        <v>45</v>
      </c>
    </row>
    <row r="13" spans="1:4" ht="18.75">
      <c r="A13" s="3" t="s">
        <v>46</v>
      </c>
    </row>
    <row r="15" spans="1:4">
      <c r="A15" s="6" t="s">
        <v>47</v>
      </c>
      <c r="B15" s="6" t="s">
        <v>48</v>
      </c>
      <c r="C15" s="6" t="s">
        <v>49</v>
      </c>
      <c r="D15" s="6" t="s">
        <v>50</v>
      </c>
    </row>
    <row r="16" spans="1:4" ht="152.25">
      <c r="A16" s="5" t="s">
        <v>51</v>
      </c>
      <c r="B16" s="5" t="s">
        <v>52</v>
      </c>
      <c r="C16" s="5" t="s">
        <v>53</v>
      </c>
      <c r="D16" s="5" t="s">
        <v>54</v>
      </c>
    </row>
    <row r="17" spans="1:4" ht="152.25">
      <c r="A17" s="5" t="s">
        <v>51</v>
      </c>
      <c r="B17" s="5" t="s">
        <v>55</v>
      </c>
      <c r="C17" s="5" t="s">
        <v>56</v>
      </c>
      <c r="D17" s="5" t="s">
        <v>54</v>
      </c>
    </row>
    <row r="18" spans="1:4" ht="183">
      <c r="A18" s="5" t="s">
        <v>57</v>
      </c>
      <c r="B18" s="5" t="s">
        <v>58</v>
      </c>
      <c r="C18" s="5" t="s">
        <v>59</v>
      </c>
      <c r="D18" s="5" t="s">
        <v>60</v>
      </c>
    </row>
    <row r="19" spans="1:4" ht="121.5">
      <c r="A19" s="5" t="s">
        <v>57</v>
      </c>
      <c r="B19" s="5" t="s">
        <v>61</v>
      </c>
      <c r="C19" s="5" t="s">
        <v>62</v>
      </c>
      <c r="D19" s="5" t="s">
        <v>63</v>
      </c>
    </row>
    <row r="20" spans="1:4" ht="152.25">
      <c r="A20" s="5" t="s">
        <v>57</v>
      </c>
      <c r="B20" s="5" t="s">
        <v>64</v>
      </c>
      <c r="C20" s="5" t="s">
        <v>65</v>
      </c>
      <c r="D20" s="5" t="s">
        <v>66</v>
      </c>
    </row>
    <row r="21" spans="1:4" ht="152.25">
      <c r="A21" s="5" t="s">
        <v>67</v>
      </c>
      <c r="B21" s="5" t="s">
        <v>68</v>
      </c>
      <c r="C21" s="5" t="s">
        <v>69</v>
      </c>
      <c r="D21" s="5" t="s">
        <v>70</v>
      </c>
    </row>
    <row r="22" spans="1:4" ht="152.25">
      <c r="A22" s="5" t="s">
        <v>71</v>
      </c>
      <c r="B22" s="5" t="s">
        <v>72</v>
      </c>
      <c r="C22" s="5" t="s">
        <v>73</v>
      </c>
      <c r="D22" s="5" t="s">
        <v>74</v>
      </c>
    </row>
    <row r="25" spans="1:4" ht="18.75">
      <c r="A25" s="3" t="s">
        <v>75</v>
      </c>
    </row>
    <row r="27" spans="1:4">
      <c r="A27" s="7" t="s">
        <v>76</v>
      </c>
      <c r="B27" s="7" t="s">
        <v>77</v>
      </c>
    </row>
    <row r="28" spans="1:4">
      <c r="A28" s="8" t="s">
        <v>78</v>
      </c>
      <c r="B28" s="8">
        <f>COUNTA(Sheet1!A2:A51)</f>
        <v>50</v>
      </c>
    </row>
    <row r="29" spans="1:4">
      <c r="A29" s="8" t="s">
        <v>79</v>
      </c>
      <c r="B29" s="8" cm="1">
        <f t="array" ref="B29">SUMPRODUCT(1/COUNTIF(Sheet1!A2:A51,Sheet1!A2:A51))</f>
        <v>7.9999999999999982</v>
      </c>
    </row>
    <row r="30" spans="1:4">
      <c r="A30" s="8" t="s">
        <v>80</v>
      </c>
      <c r="B30" s="8" t="e" cm="1">
        <f t="array" ref="B30">SUMPRODUCT((Sheet1!C2:C51&lt;&gt;"")/COUNTIFS(Sheet1!C2:C51,Sheet1!C2:C51,Sheet1!C2:C51,"&lt;&gt;"))</f>
        <v>#DIV/0!</v>
      </c>
    </row>
    <row r="31" spans="1:4">
      <c r="A31" s="8" t="s">
        <v>81</v>
      </c>
      <c r="B31" s="8">
        <f>COUNTBLANK(Sheet1!C2:C51)</f>
        <v>2</v>
      </c>
    </row>
    <row r="32" spans="1:4">
      <c r="A32" s="8" t="s">
        <v>82</v>
      </c>
      <c r="B32" s="9">
        <f>SUM(Sheet1!D2:D51)</f>
        <v>132124</v>
      </c>
    </row>
    <row r="33" spans="1:2">
      <c r="A33" s="8" t="s">
        <v>5</v>
      </c>
      <c r="B33" s="9">
        <f>SUM(Sheet1!F2:F51)</f>
        <v>10895443.509999998</v>
      </c>
    </row>
    <row r="34" spans="1:2">
      <c r="A34" s="8" t="s">
        <v>83</v>
      </c>
      <c r="B34" s="9">
        <f>AVERAGE(Sheet1!E2:E51)</f>
        <v>120.67439999999999</v>
      </c>
    </row>
    <row r="35" spans="1:2">
      <c r="A35" s="8" t="s">
        <v>84</v>
      </c>
      <c r="B35" s="9">
        <f>MAX(Sheet1!E2:E51)</f>
        <v>892.75</v>
      </c>
    </row>
    <row r="36" spans="1:2">
      <c r="A36" s="8" t="s">
        <v>85</v>
      </c>
      <c r="B36" s="9">
        <f>MIN(Sheet1!E2:E51)</f>
        <v>9.8000000000000007</v>
      </c>
    </row>
    <row r="37" spans="1:2">
      <c r="A37" s="8" t="s">
        <v>86</v>
      </c>
      <c r="B37" s="8">
        <f>COUNTIF(Sheet1!G2:G51,"*Urgent*")</f>
        <v>11</v>
      </c>
    </row>
    <row r="38" spans="1:2">
      <c r="A38" s="8" t="s">
        <v>87</v>
      </c>
      <c r="B38" s="8">
        <f>COUNTIF(Sheet1!G2:G51,"*Bulk*")</f>
        <v>14</v>
      </c>
    </row>
    <row r="39" spans="1:2">
      <c r="A39" s="8" t="s">
        <v>88</v>
      </c>
      <c r="B39" s="8">
        <f>COUNTIF(Sheet1!G2:G51,"*Check*")</f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c185d24a9efaf4ef7788f92a6f139daf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c346a869fb3cee878f0e03812c5772ef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astUsedinFY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astUsedinFY" ma:index="24" nillable="true" ma:displayName="Last Used in FY" ma:default="FY24" ma:format="Dropdown" ma:internalName="LastUsedinFY">
      <xsd:simpleType>
        <xsd:restriction base="dms:Choice">
          <xsd:enumeration value="FY21"/>
          <xsd:enumeration value="FY22"/>
          <xsd:enumeration value="FY23"/>
          <xsd:enumeration value="FY24"/>
        </xsd:restriction>
      </xsd:simpleType>
    </xsd:element>
    <xsd:element name="Event" ma:index="25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7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8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9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30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1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2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3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4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5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6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7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9" nillable="true" ma:displayName="Translated Language" ma:internalName="TranslatedLang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1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2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LastUsedinFY xmlns="8ef809a0-ee5c-4f7c-93f4-54335103f45d">FY24</LastUsedinFY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22428106-73C3-4649-8761-4EC0C8AD8928}"/>
</file>

<file path=customXml/itemProps2.xml><?xml version="1.0" encoding="utf-8"?>
<ds:datastoreItem xmlns:ds="http://schemas.openxmlformats.org/officeDocument/2006/customXml" ds:itemID="{37A828F4-E442-47C9-82F1-8D19146BAD30}"/>
</file>

<file path=customXml/itemProps3.xml><?xml version="1.0" encoding="utf-8"?>
<ds:datastoreItem xmlns:ds="http://schemas.openxmlformats.org/officeDocument/2006/customXml" ds:itemID="{74537FBB-A197-43EB-A4AC-C6C2853318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User1-60937628</cp:lastModifiedBy>
  <cp:revision/>
  <dcterms:created xsi:type="dcterms:W3CDTF">2026-04-16T08:43:07Z</dcterms:created>
  <dcterms:modified xsi:type="dcterms:W3CDTF">2026-04-16T10:53:32Z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